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 activeTab="1"/>
  </bookViews>
  <sheets>
    <sheet name="Leetcode_Imp_Problems" sheetId="1" r:id="rId1"/>
    <sheet name="Zoho_Problems_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<sst xmlns="http://schemas.openxmlformats.org/spreadsheetml/2006/main" count="240" uniqueCount="93">
  <si>
    <t>Date</t>
  </si>
  <si>
    <t>Topic</t>
  </si>
  <si>
    <t>Problem</t>
  </si>
  <si>
    <t>Difficulty</t>
  </si>
  <si>
    <t>Status</t>
  </si>
  <si>
    <t>Notes</t>
  </si>
  <si>
    <t>Time(min)</t>
  </si>
  <si>
    <t>Total Task</t>
  </si>
  <si>
    <t>completed Task</t>
  </si>
  <si>
    <t>Pending Task</t>
  </si>
  <si>
    <t>In Progress</t>
  </si>
  <si>
    <t>Array</t>
  </si>
  <si>
    <t>Find maximum &amp; minimum in array</t>
  </si>
  <si>
    <t>High</t>
  </si>
  <si>
    <t>Pending</t>
  </si>
  <si>
    <t>Build strong foundation</t>
  </si>
  <si>
    <t>Reverse an array</t>
  </si>
  <si>
    <t>Low</t>
  </si>
  <si>
    <t>Check if array is sorted</t>
  </si>
  <si>
    <t>Sum of all elements</t>
  </si>
  <si>
    <t>Count even &amp; odd numbers</t>
  </si>
  <si>
    <t>Linear search</t>
  </si>
  <si>
    <t>Binary search</t>
  </si>
  <si>
    <t>Find second largest element</t>
  </si>
  <si>
    <t>Remove duplicates from sorted array</t>
  </si>
  <si>
    <t>Move all zeros to end</t>
  </si>
  <si>
    <r>
      <rPr>
        <sz val="11"/>
        <color theme="1"/>
        <rFont val="Calibri"/>
        <charset val="134"/>
        <scheme val="minor"/>
      </rPr>
      <t>Two Sum(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</si>
  <si>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Completed</t>
  </si>
  <si>
    <t>Most asked in interviewsIntermediate (Very Important)</t>
  </si>
  <si>
    <r>
      <rPr>
        <sz val="11"/>
        <color theme="1"/>
        <rFont val="Calibri"/>
        <charset val="134"/>
        <scheme val="minor"/>
      </rPr>
      <t>Kadane’s Algorithm (Maximum Subarray Sum) 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</si>
  <si>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Best time to buy and sell stock</t>
  </si>
  <si>
    <r>
      <rPr>
        <sz val="11"/>
        <color theme="1"/>
        <rFont val="Calibri"/>
        <charset val="134"/>
        <scheme val="minor"/>
      </rPr>
      <t>Majority element(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</si>
  <si>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Find missing number</t>
  </si>
  <si>
    <t>Find duplicate number</t>
  </si>
  <si>
    <t>Merge two sorted arrays</t>
  </si>
  <si>
    <t>Intersection of two arrays</t>
  </si>
  <si>
    <r>
      <rPr>
        <sz val="11"/>
        <color theme="1"/>
        <rFont val="Calibri"/>
        <charset val="134"/>
        <scheme val="minor"/>
      </rPr>
      <t>Rotate array by k steps(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</si>
  <si>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Product of array except itself(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</si>
  <si>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Sliding Window / Prefix Sum</t>
  </si>
  <si>
    <t>Maximum sum subarray of size k</t>
  </si>
  <si>
    <t>High interview frequency</t>
  </si>
  <si>
    <t>Longest subarray with sum k</t>
  </si>
  <si>
    <t>Subarray with given sum</t>
  </si>
  <si>
    <t>Count subarrays with sum k</t>
  </si>
  <si>
    <t>Maximum average subarray</t>
  </si>
  <si>
    <t>Longest substring without repeating characters (string + array concept)</t>
  </si>
  <si>
    <t>Minimum size subarray sum</t>
  </si>
  <si>
    <r>
      <rPr>
        <sz val="11"/>
        <color theme="1"/>
        <rFont val="Calibri"/>
        <charset val="134"/>
        <scheme val="minor"/>
      </rPr>
      <t>Trapping Rain Water 🔥(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</si>
  <si>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Advanced / Patterns</t>
  </si>
  <si>
    <t>Container with most water</t>
  </si>
  <si>
    <t>These make you stand out</t>
  </si>
  <si>
    <t>Next permutation</t>
  </si>
  <si>
    <r>
      <rPr>
        <sz val="11"/>
        <color theme="1"/>
        <rFont val="Calibri"/>
        <charset val="134"/>
        <scheme val="minor"/>
      </rPr>
      <t>3Sum / 4Sum(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</si>
  <si>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Merge intervals</t>
  </si>
  <si>
    <r>
      <rPr>
        <sz val="11"/>
        <color theme="1"/>
        <rFont val="Calibri"/>
        <charset val="134"/>
        <scheme val="minor"/>
      </rPr>
      <t>Insert interval(</t>
    </r>
    <r>
      <rPr>
        <sz val="11"/>
        <color rgb="FFFF0000"/>
        <rFont val="Calibri"/>
        <charset val="134"/>
        <scheme val="minor"/>
      </rPr>
      <t>IMP</t>
    </r>
    <r>
      <rPr>
        <sz val="11"/>
        <color theme="1"/>
        <rFont val="Calibri"/>
        <charset val="134"/>
        <scheme val="minor"/>
      </rPr>
      <t>)</t>
    </r>
  </si>
  <si>
    <t>Spiral matrix</t>
  </si>
  <si>
    <t>Set matrix zeroes</t>
  </si>
  <si>
    <t>Sort colors (Dutch National Flag)</t>
  </si>
  <si>
    <t>Maximum product subarray</t>
  </si>
  <si>
    <t>Day</t>
  </si>
  <si>
    <t>Two Sum</t>
  </si>
  <si>
    <t>First Non-Repeating Character ✅ (you did)</t>
  </si>
  <si>
    <t>Move Zeros</t>
  </si>
  <si>
    <t>Maximum Subarray (Kadane’s)</t>
  </si>
  <si>
    <t>Product of Array Except Self</t>
  </si>
  <si>
    <t>Rotate Array</t>
  </si>
  <si>
    <t>Majority Element</t>
  </si>
  <si>
    <t>String</t>
  </si>
  <si>
    <t>Valid Palindrome</t>
  </si>
  <si>
    <t>Anagram Check</t>
  </si>
  <si>
    <t>Longest Substring Without Repeating Characters 🔥</t>
  </si>
  <si>
    <t>String Compression</t>
  </si>
  <si>
    <t>Remove Duplicates</t>
  </si>
  <si>
    <t>Recursion</t>
  </si>
  <si>
    <t>Print all subsequences</t>
  </si>
  <si>
    <t>Generate subsets of array</t>
  </si>
  <si>
    <t>Permutations of string</t>
  </si>
  <si>
    <t>Coin toss problem ✅ (you did)</t>
  </si>
  <si>
    <t>Maze path problem</t>
  </si>
  <si>
    <t>Count ways</t>
  </si>
  <si>
    <t>Stack</t>
  </si>
  <si>
    <t>Valid Parentheses</t>
  </si>
  <si>
    <t>Next Greater Element 🔥</t>
  </si>
  <si>
    <t>Reverse Stack ✅</t>
  </si>
  <si>
    <t>Min Stack</t>
  </si>
  <si>
    <t>Searching and Sorting</t>
  </si>
  <si>
    <t>Binary Search</t>
  </si>
  <si>
    <t>First &amp; Last Occurrence</t>
  </si>
  <si>
    <t>Merge Sort (you studied ✅)</t>
  </si>
  <si>
    <t>Quick Sort (pivot concept ✅)</t>
  </si>
  <si>
    <t>Find duplicate in array</t>
  </si>
  <si>
    <t>Reverse word in string</t>
  </si>
  <si>
    <t>String compression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</si>
</sst>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2">
    <font>
      <sz val="11"/>
      <color theme="1"/>
      <name val="Calibri"/>
      <charset val="134"/>
      <scheme val="minor"/>
    </font>
    <font>
      <sz val="11"/>
      <color theme="1"/>
      <name val="Rockwel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8" borderId="0" xfId="0" applyFill="1" applyAlignment="1">
      <alignment horizontal="left"/>
    </xf>
    <xf numFmtId="0" fontId="0" fillId="7" borderId="0" xfId="0" applyFill="1"/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12" borderId="0" xfId="0" applyFill="1" applyAlignment="1">
      <alignment horizontal="left"/>
    </xf>
    <xf numFmtId="0" fontId="0" fillId="13" borderId="0" xfId="0" applyFill="1"/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numFmt numFmtId="180" formatCode="dd/mmm"/>
      <alignment horizontal="center"/>
    </dxf>
    <dxf>
      <alignment horizontal="left"/>
    </dxf>
    <dxf>
      <alignment horizontal="left"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6"/>
            </a:solidFill>
          </c:spPr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Leetcode_Imp_Problems!$J$1:$L$1</c:f>
              <c:strCache>
                <c:ptCount val="3"/>
                <c:pt idx="0">
                  <c:v>completed Task</c:v>
                </c:pt>
                <c:pt idx="1">
                  <c:v>Pending Task</c:v>
                </c:pt>
                <c:pt idx="2">
                  <c:v>In Progress</c:v>
                </c:pt>
              </c:strCache>
            </c:strRef>
          </c:cat>
          <c:val>
            <c:numRef>
              <c:f>Leetcode_Imp_Problems!$J$2:$L$2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352789-c568-470c-b32d-6ac0c61304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Zoho_Problems_List!$K$1:$M$1</c:f>
              <c:strCache>
                <c:ptCount val="3"/>
                <c:pt idx="0">
                  <c:v>completed Task</c:v>
                </c:pt>
                <c:pt idx="1">
                  <c:v>Pending Task</c:v>
                </c:pt>
                <c:pt idx="2">
                  <c:v>In Progress</c:v>
                </c:pt>
              </c:strCache>
            </c:strRef>
          </c:cat>
          <c:val>
            <c:numRef>
              <c:f>Zoho_Problems_List!$K$2:$M$2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f126fc-8053-4c89-96af-cace8f67a0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510540</xdr:colOff>
      <xdr:row>5</xdr:row>
      <xdr:rowOff>83820</xdr:rowOff>
    </xdr:from>
    <xdr:to>
      <xdr:col>11</xdr:col>
      <xdr:colOff>937260</xdr:colOff>
      <xdr:row>20</xdr:row>
      <xdr:rowOff>83820</xdr:rowOff>
    </xdr:to>
    <xdr:graphicFrame>
      <xdr:nvGraphicFramePr>
        <xdr:cNvPr id="3" name="Chart 2"/>
        <xdr:cNvGraphicFramePr/>
      </xdr:nvGraphicFramePr>
      <xdr:xfrm>
        <a:off x="13517880" y="13315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</xdr:colOff>
      <xdr:row>4</xdr:row>
      <xdr:rowOff>30480</xdr:rowOff>
    </xdr:from>
    <xdr:to>
      <xdr:col>12</xdr:col>
      <xdr:colOff>548640</xdr:colOff>
      <xdr:row>19</xdr:row>
      <xdr:rowOff>30480</xdr:rowOff>
    </xdr:to>
    <xdr:graphicFrame>
      <xdr:nvGraphicFramePr>
        <xdr:cNvPr id="3" name="Chart 2"/>
        <xdr:cNvGraphicFramePr/>
      </xdr:nvGraphicFramePr>
      <xdr:xfrm>
        <a:off x="19316700" y="10953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38">
  <autoFilter xmlns:etc="http://www.wps.cn/officeDocument/2017/etCustomData" ref="A1:G38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ate" dataDxfId="0" totalsRowLabel="Total"/>
    <tableColumn id="2" name="Topic" dataDxfId="1"/>
    <tableColumn id="3" name="Problem" dataDxfId="2"/>
    <tableColumn id="4" name="Difficulty" dataDxfId="3"/>
    <tableColumn id="5" name="Status" dataDxfId="4"/>
    <tableColumn id="6" name="Notes" dataDxfId="5"/>
    <tableColumn id="7" name="Time(min)" dataDxfId="6" totalsRowFunction="sum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H39">
  <tableColumns count="8">
    <tableColumn id="1" name="Date" totalsRowLabel="Total"/>
    <tableColumn id="8" name="Day"/>
    <tableColumn id="2" name="Topic" dataDxfId="10"/>
    <tableColumn id="3" name="Problem"/>
    <tableColumn id="4" name="Difficulty"/>
    <tableColumn id="5" name="Status"/>
    <tableColumn id="6" name="Notes"/>
    <tableColumn id="7" name="Time(min)" totalsRowFunction="sum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44"/>
  <sheetViews>
    <sheetView zoomScale="99" zoomScaleNormal="99" topLeftCell="C1" workbookViewId="0">
      <selection activeCell="B8" sqref="B8"/>
    </sheetView>
  </sheetViews>
  <sheetFormatPr defaultColWidth="9" defaultRowHeight="14.4"/>
  <cols>
    <col min="1" max="1" width="16.1111111111111" style="1" customWidth="1"/>
    <col min="2" max="2" width="24.6666666666667" style="1" customWidth="1"/>
    <col min="3" max="3" width="59.1111111111111" style="3" customWidth="1"/>
    <col min="4" max="4" width="13.7777777777778" style="1" customWidth="1"/>
    <col min="5" max="5" width="13.6666666666667" style="1" customWidth="1"/>
    <col min="6" max="6" width="46.1111111111111" style="1" customWidth="1"/>
    <col min="7" max="7" width="11.5555555555556" style="1" customWidth="1"/>
    <col min="8" max="8" width="4.66666666666667" style="1" customWidth="1"/>
    <col min="9" max="10" width="20.3333333333333" customWidth="1"/>
    <col min="11" max="11" width="19.7777777777778" customWidth="1"/>
    <col min="12" max="12" width="18.7777777777778" customWidth="1"/>
  </cols>
  <sheetData>
    <row r="1" ht="38.4" customHeight="1" spans="1:1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/>
      <c r="I1" s="4" t="s">
        <v>7</v>
      </c>
      <c r="J1" s="5" t="s">
        <v>8</v>
      </c>
      <c r="K1" s="6" t="s">
        <v>9</v>
      </c>
      <c r="L1" s="7" t="s">
        <v>10</v>
      </c>
    </row>
    <row r="2" ht="15.9" spans="1:12">
      <c r="A2" s="8">
        <v>46103</v>
      </c>
      <c r="B2" s="2" t="s">
        <v>11</v>
      </c>
      <c r="C2" s="3" t="s">
        <v>12</v>
      </c>
      <c r="D2" s="1" t="s">
        <v>13</v>
      </c>
      <c r="E2" s="1" t="s">
        <v>14</v>
      </c>
      <c r="F2" s="18" t="s">
        <v>15</v>
      </c>
      <c r="G2" s="1">
        <v>20</v>
      </c>
      <c r="I2" s="11">
        <f>COUNTA(C2:C119)</f>
        <v>37</v>
      </c>
      <c r="J2" s="11">
        <f>COUNTIF(Table1[Status],"Completed")</f>
        <v>3</v>
      </c>
      <c r="K2" s="11">
        <f>COUNTIF(Table1[Status],"Pending")</f>
        <v>7</v>
      </c>
      <c r="L2" s="11">
        <f>COUNTIF(Table1[Status],"In Progress")</f>
        <v>4</v>
      </c>
    </row>
    <row r="3" ht="15.15" spans="1:12">
      <c r="A3" s="8">
        <v>46104</v>
      </c>
      <c r="B3" s="2" t="s">
        <v>11</v>
      </c>
      <c r="C3" s="3" t="s">
        <v>16</v>
      </c>
      <c r="D3" s="1" t="s">
        <v>17</v>
      </c>
      <c r="E3" s="1" t="s">
        <v>14</v>
      </c>
      <c r="F3" s="18" t="s">
        <v>15</v>
      </c>
    </row>
    <row r="4" spans="1:12">
      <c r="A4" s="8">
        <v>46105</v>
      </c>
      <c r="B4" s="2" t="s">
        <v>11</v>
      </c>
      <c r="C4" s="3" t="s">
        <v>18</v>
      </c>
      <c r="E4" s="1" t="s">
        <v>14</v>
      </c>
      <c r="F4" s="18" t="s">
        <v>15</v>
      </c>
    </row>
    <row r="5" spans="1:12">
      <c r="A5" s="8">
        <v>46106</v>
      </c>
      <c r="B5" s="2" t="s">
        <v>11</v>
      </c>
      <c r="C5" s="3" t="s">
        <v>19</v>
      </c>
      <c r="E5" s="1" t="s">
        <v>14</v>
      </c>
      <c r="F5" s="18" t="s">
        <v>15</v>
      </c>
    </row>
    <row r="6" spans="1:12">
      <c r="A6" s="8">
        <v>46107</v>
      </c>
      <c r="B6" s="2" t="s">
        <v>11</v>
      </c>
      <c r="C6" s="3" t="s">
        <v>20</v>
      </c>
      <c r="D6" s="1" t="s">
        <v>17</v>
      </c>
      <c r="E6" s="1" t="s">
        <v>14</v>
      </c>
      <c r="F6" s="18" t="s">
        <v>15</v>
      </c>
    </row>
    <row r="7" spans="1:12">
      <c r="A7" s="8">
        <v>46108</v>
      </c>
      <c r="B7" s="2" t="s">
        <v>11</v>
      </c>
      <c r="C7" s="3" t="s">
        <v>21</v>
      </c>
      <c r="E7" s="1" t="s">
        <v>10</v>
      </c>
      <c r="F7" s="18" t="s">
        <v>15</v>
      </c>
    </row>
    <row r="8" spans="1:12">
      <c r="A8" s="8">
        <v>46109</v>
      </c>
      <c r="B8" s="2" t="s">
        <v>11</v>
      </c>
      <c r="C8" s="3" t="s">
        <v>22</v>
      </c>
      <c r="E8" s="1" t="s">
        <v>14</v>
      </c>
      <c r="F8" s="18" t="s">
        <v>15</v>
      </c>
    </row>
    <row r="9" spans="1:12">
      <c r="A9" s="8">
        <v>46110</v>
      </c>
      <c r="B9" s="2" t="s">
        <v>11</v>
      </c>
      <c r="C9" s="3" t="s">
        <v>23</v>
      </c>
      <c r="E9" s="1" t="s">
        <v>10</v>
      </c>
      <c r="F9" s="18" t="s">
        <v>15</v>
      </c>
    </row>
    <row r="10" spans="1:12">
      <c r="A10" s="8">
        <v>46111</v>
      </c>
      <c r="B10" s="2" t="s">
        <v>11</v>
      </c>
      <c r="C10" s="3" t="s">
        <v>24</v>
      </c>
      <c r="E10" s="1" t="s">
        <v>10</v>
      </c>
      <c r="F10" s="18" t="s">
        <v>15</v>
      </c>
    </row>
    <row r="11" spans="1:12">
      <c r="A11" s="8">
        <v>46112</v>
      </c>
      <c r="B11" s="2" t="s">
        <v>11</v>
      </c>
      <c r="C11" s="3" t="s">
        <v>25</v>
      </c>
      <c r="E11" s="1" t="s">
        <v>10</v>
      </c>
      <c r="F11" s="18" t="s">
        <v>15</v>
      </c>
    </row>
    <row r="12" spans="1:12">
      <c r="A12" s="8">
        <v>46113</v>
      </c>
      <c r="B12" s="2" t="s">
        <v>11</v>
      </c>
      <c r="C12" t="s">
        <v>26</v>
      </c>
      <c r="D12" s="1" t="s">
        <v>13</v>
      </c>
      <c r="E12" s="1" t="s">
        <v>27</v>
      </c>
      <c r="F12" s="19" t="s">
        <v>28</v>
      </c>
    </row>
    <row r="13" spans="1:12">
      <c r="A13" s="8">
        <v>46114</v>
      </c>
      <c r="B13" s="2" t="s">
        <v>11</v>
      </c>
      <c r="C13" s="3" t="s">
        <v>29</v>
      </c>
      <c r="D13" s="1" t="s">
        <v>13</v>
      </c>
      <c r="E13" s="1" t="s">
        <v>27</v>
      </c>
      <c r="F13" s="19" t="s">
        <v>28</v>
      </c>
    </row>
    <row r="14" spans="1:12">
      <c r="A14" s="8">
        <v>46115</v>
      </c>
      <c r="B14" s="2" t="s">
        <v>11</v>
      </c>
      <c r="C14" s="3" t="s">
        <v>30</v>
      </c>
      <c r="E14" s="1" t="s">
        <v>14</v>
      </c>
      <c r="F14" s="19" t="s">
        <v>28</v>
      </c>
    </row>
    <row r="15" spans="1:12">
      <c r="A15" s="8">
        <v>46116</v>
      </c>
      <c r="B15" s="2" t="s">
        <v>11</v>
      </c>
      <c r="C15" s="3" t="s">
        <v>31</v>
      </c>
      <c r="F15" s="19" t="s">
        <v>28</v>
      </c>
    </row>
    <row r="16" spans="1:12">
      <c r="A16" s="8">
        <v>46117</v>
      </c>
      <c r="B16" s="2" t="s">
        <v>11</v>
      </c>
      <c r="C16" s="3" t="s">
        <v>32</v>
      </c>
      <c r="E16" s="1" t="s">
        <v>27</v>
      </c>
      <c r="F16" s="19" t="s">
        <v>28</v>
      </c>
    </row>
    <row r="17" spans="1:6">
      <c r="A17" s="8">
        <v>46118</v>
      </c>
      <c r="B17" s="2" t="s">
        <v>11</v>
      </c>
      <c r="C17" s="3" t="s">
        <v>33</v>
      </c>
      <c r="F17" s="19" t="s">
        <v>28</v>
      </c>
    </row>
    <row r="18" spans="1:6">
      <c r="A18" s="8">
        <v>46119</v>
      </c>
      <c r="B18" s="2" t="s">
        <v>11</v>
      </c>
      <c r="C18" s="3" t="s">
        <v>34</v>
      </c>
      <c r="F18" s="19" t="s">
        <v>28</v>
      </c>
    </row>
    <row r="19" spans="1:6">
      <c r="A19" s="8">
        <v>46120</v>
      </c>
      <c r="B19" s="2" t="s">
        <v>11</v>
      </c>
      <c r="C19" s="3" t="s">
        <v>35</v>
      </c>
      <c r="F19" s="19" t="s">
        <v>28</v>
      </c>
    </row>
    <row r="20" spans="1:6">
      <c r="A20" s="8">
        <v>46121</v>
      </c>
      <c r="B20" s="2" t="s">
        <v>11</v>
      </c>
      <c r="C20" s="3" t="s">
        <v>36</v>
      </c>
      <c r="D20" s="1" t="s">
        <v>13</v>
      </c>
      <c r="F20" s="19" t="s">
        <v>28</v>
      </c>
    </row>
    <row r="21" spans="1:6">
      <c r="A21" s="8">
        <v>46122</v>
      </c>
      <c r="B21" s="2" t="s">
        <v>11</v>
      </c>
      <c r="C21" s="3" t="s">
        <v>37</v>
      </c>
      <c r="D21" s="1" t="s">
        <v>13</v>
      </c>
      <c r="F21" s="19" t="s">
        <v>28</v>
      </c>
    </row>
    <row r="22" spans="1:6">
      <c r="A22" s="8"/>
      <c r="B22" s="2" t="s">
        <v>38</v>
      </c>
      <c r="C22" s="3" t="s">
        <v>39</v>
      </c>
      <c r="D22" s="1" t="s">
        <v>13</v>
      </c>
      <c r="F22" s="2" t="s">
        <v>40</v>
      </c>
    </row>
    <row r="23" spans="1:6">
      <c r="A23" s="8"/>
      <c r="B23" s="2" t="s">
        <v>38</v>
      </c>
      <c r="C23" s="3" t="s">
        <v>41</v>
      </c>
      <c r="F23" s="2" t="s">
        <v>40</v>
      </c>
    </row>
    <row r="24" spans="1:6">
      <c r="A24" s="8"/>
      <c r="B24" s="2" t="s">
        <v>38</v>
      </c>
      <c r="C24" s="3" t="s">
        <v>42</v>
      </c>
      <c r="F24" s="2" t="s">
        <v>40</v>
      </c>
    </row>
    <row r="25" spans="1:6">
      <c r="A25" s="8"/>
      <c r="B25" s="2" t="s">
        <v>38</v>
      </c>
      <c r="C25" s="3" t="s">
        <v>43</v>
      </c>
      <c r="F25" s="2" t="s">
        <v>40</v>
      </c>
    </row>
    <row r="26" spans="1:6">
      <c r="A26" s="8"/>
      <c r="B26" s="2" t="s">
        <v>38</v>
      </c>
      <c r="C26" s="3" t="s">
        <v>44</v>
      </c>
      <c r="F26" s="2" t="s">
        <v>40</v>
      </c>
    </row>
    <row r="27" spans="1:6">
      <c r="A27" s="8"/>
      <c r="B27" s="2" t="s">
        <v>38</v>
      </c>
      <c r="C27" s="3" t="s">
        <v>45</v>
      </c>
      <c r="F27" s="2" t="s">
        <v>40</v>
      </c>
    </row>
    <row r="28" spans="1:6">
      <c r="A28" s="8"/>
      <c r="B28" s="2" t="s">
        <v>38</v>
      </c>
      <c r="C28" s="3" t="s">
        <v>46</v>
      </c>
      <c r="F28" s="2" t="s">
        <v>40</v>
      </c>
    </row>
    <row r="29" spans="1:6">
      <c r="A29" s="8"/>
      <c r="B29" s="2" t="s">
        <v>11</v>
      </c>
      <c r="C29" t="s">
        <v>47</v>
      </c>
      <c r="D29" s="1" t="s">
        <v>13</v>
      </c>
      <c r="F29" s="2" t="s">
        <v>48</v>
      </c>
    </row>
    <row r="30" spans="1:6">
      <c r="A30" s="8"/>
      <c r="B30" s="2" t="s">
        <v>11</v>
      </c>
      <c r="C30" s="3" t="s">
        <v>49</v>
      </c>
      <c r="F30" s="2" t="s">
        <v>50</v>
      </c>
    </row>
    <row r="31" spans="1:6">
      <c r="A31" s="8"/>
      <c r="B31" s="2" t="s">
        <v>11</v>
      </c>
      <c r="C31" s="3" t="s">
        <v>51</v>
      </c>
    </row>
    <row r="32" spans="1:6">
      <c r="A32" s="8"/>
      <c r="B32" s="2" t="s">
        <v>11</v>
      </c>
      <c r="C32" s="3" t="s">
        <v>52</v>
      </c>
      <c r="D32" s="1" t="s">
        <v>13</v>
      </c>
    </row>
    <row r="33" spans="1:4">
      <c r="A33" s="8"/>
      <c r="B33" s="2" t="s">
        <v>11</v>
      </c>
      <c r="C33" s="3" t="s">
        <v>53</v>
      </c>
    </row>
    <row r="34" spans="1:4">
      <c r="A34" s="8"/>
      <c r="B34" s="2" t="s">
        <v>11</v>
      </c>
      <c r="C34" s="3" t="s">
        <v>54</v>
      </c>
      <c r="D34" s="1" t="s">
        <v>13</v>
      </c>
    </row>
    <row r="35" spans="1:4">
      <c r="A35" s="8"/>
      <c r="B35" s="2" t="s">
        <v>11</v>
      </c>
      <c r="C35" s="3" t="s">
        <v>55</v>
      </c>
    </row>
    <row r="36" spans="1:4">
      <c r="A36" s="8"/>
      <c r="B36" s="2" t="s">
        <v>11</v>
      </c>
      <c r="C36" s="3" t="s">
        <v>56</v>
      </c>
    </row>
    <row r="37" spans="1:4">
      <c r="A37" s="8"/>
      <c r="B37" s="2" t="s">
        <v>11</v>
      </c>
      <c r="C37" s="3" t="s">
        <v>57</v>
      </c>
    </row>
    <row r="38" spans="1:4">
      <c r="A38" s="8"/>
      <c r="B38" s="2" t="s">
        <v>11</v>
      </c>
      <c r="C38" s="3" t="s">
        <v>58</v>
      </c>
    </row>
    <row r="44" spans="1:4">
      <c r="B44" s="20"/>
    </row>
  </sheetData>
  <conditionalFormatting sqref="E2:E119">
    <cfRule type="expression" dxfId="7" priority="1">
      <formula>TRIM(E2)="In Progress"</formula>
    </cfRule>
    <cfRule type="expression" dxfId="8" priority="2">
      <formula>TRIM(E2)="Pending"</formula>
    </cfRule>
    <cfRule type="expression" dxfId="9" priority="3">
      <formula>TRIM(E2)="Completed"</formula>
    </cfRule>
  </conditionalFormatting>
  <dataValidations count="3">
    <dataValidation type="list" allowBlank="1" showInputMessage="1" showErrorMessage="1" sqref="E1 E120:E1048576">
      <formula1>"Done,In Progress,Pending"</formula1>
    </dataValidation>
    <dataValidation type="list" allowBlank="1" showInputMessage="1" showErrorMessage="1" sqref="D2:D119">
      <formula1>"High,Low,Medium"</formula1>
    </dataValidation>
    <dataValidation type="list" allowBlank="1" showInputMessage="1" showErrorMessage="1" sqref="E2:E119">
      <formula1>"Completed,Pending,In Progress"</formula1>
    </dataValidation>
  </dataValidations>
  <pageMargins left="0.7" right="0.7" top="0.75" bottom="0.75" header="0.3" footer="0.3"/>
  <pageSetup paperSize="1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44"/>
  <sheetViews>
    <sheetView tabSelected="1" workbookViewId="0">
      <selection activeCell="F26" sqref="F26"/>
    </sheetView>
  </sheetViews>
  <sheetFormatPr defaultColWidth="9" defaultRowHeight="14.4"/>
  <cols>
    <col min="1" max="1" width="16.1111111111111" style="1" customWidth="1"/>
    <col min="2" max="2" width="24.6666666666667" style="2" customWidth="1"/>
    <col min="3" max="3" width="40.2222222222222" style="3" customWidth="1"/>
    <col min="4" max="4" width="47.5555555555556" style="1" customWidth="1"/>
    <col min="5" max="5" width="13.6666666666667" style="1" customWidth="1"/>
    <col min="6" max="6" width="46.1111111111111" style="1" customWidth="1"/>
    <col min="7" max="7" width="48.1111111111111" style="1" customWidth="1"/>
    <col min="8" max="8" width="24.5555555555556" style="1" customWidth="1"/>
    <col min="9" max="9" width="20.3333333333333" customWidth="1"/>
    <col min="10" max="10" width="20.4444444444444" customWidth="1"/>
    <col min="11" max="11" width="19.7777777777778" customWidth="1"/>
    <col min="12" max="12" width="18.7777777777778" customWidth="1"/>
    <col min="13" max="13" width="16.7777777777778" customWidth="1"/>
  </cols>
  <sheetData>
    <row r="1" ht="38.4" customHeight="1" spans="1:13">
      <c r="A1" s="1" t="s">
        <v>0</v>
      </c>
      <c r="B1" s="1" t="s">
        <v>59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4" t="s">
        <v>7</v>
      </c>
      <c r="K1" s="5" t="s">
        <v>8</v>
      </c>
      <c r="L1" s="6" t="s">
        <v>9</v>
      </c>
      <c r="M1" s="7" t="s">
        <v>10</v>
      </c>
    </row>
    <row r="2" ht="15.9" spans="1:13">
      <c r="A2" s="8">
        <v>46108</v>
      </c>
      <c r="B2" s="8"/>
      <c r="C2" s="9" t="s">
        <v>11</v>
      </c>
      <c r="D2" t="s">
        <v>60</v>
      </c>
      <c r="E2" s="1" t="s">
        <v>13</v>
      </c>
      <c r="F2" s="1" t="s">
        <v>27</v>
      </c>
      <c r="G2" s="10" t="s">
        <v>61</v>
      </c>
      <c r="H2" s="1">
        <v>20</v>
      </c>
      <c r="I2" s="1"/>
      <c r="J2" s="11">
        <f>COUNTA(C2:C119)</f>
        <v>30</v>
      </c>
      <c r="K2" s="11">
        <f>COUNTIF(Table1_3[Status],"Completed")</f>
        <v>6</v>
      </c>
      <c r="L2" s="11">
        <f>COUNTIF(Table1_3[Status],"Pending")</f>
        <v>8</v>
      </c>
      <c r="M2" s="11">
        <f>COUNTIF(Table1_3[Status],"In Progress")</f>
        <v>3</v>
      </c>
    </row>
    <row r="3" ht="15.15" spans="1:13">
      <c r="A3" s="8">
        <v>46104</v>
      </c>
      <c r="B3" s="8"/>
      <c r="C3" s="9" t="s">
        <v>11</v>
      </c>
      <c r="D3" t="s">
        <v>62</v>
      </c>
      <c r="E3" s="1" t="s">
        <v>17</v>
      </c>
      <c r="F3" s="1" t="s">
        <v>14</v>
      </c>
      <c r="G3" s="10"/>
      <c r="H3" s="1">
        <v>20</v>
      </c>
      <c r="I3" s="1"/>
    </row>
    <row r="4" spans="1:13">
      <c r="A4" s="8">
        <v>46105</v>
      </c>
      <c r="B4" s="8"/>
      <c r="C4" s="9" t="s">
        <v>11</v>
      </c>
      <c r="D4" t="s">
        <v>63</v>
      </c>
      <c r="F4" s="1" t="s">
        <v>14</v>
      </c>
      <c r="G4" s="10"/>
      <c r="H4" s="1">
        <v>30</v>
      </c>
      <c r="I4" s="1"/>
    </row>
    <row r="5" spans="1:13">
      <c r="A5" s="8">
        <v>46106</v>
      </c>
      <c r="B5" s="8"/>
      <c r="C5" s="9" t="s">
        <v>11</v>
      </c>
      <c r="D5" t="s">
        <v>64</v>
      </c>
      <c r="F5" s="1" t="s">
        <v>14</v>
      </c>
      <c r="G5" s="10"/>
      <c r="I5" s="1"/>
    </row>
    <row r="6" spans="1:13">
      <c r="A6" s="8">
        <v>46107</v>
      </c>
      <c r="B6" s="8"/>
      <c r="C6" s="9" t="s">
        <v>11</v>
      </c>
      <c r="D6" t="s">
        <v>65</v>
      </c>
      <c r="E6" s="1" t="s">
        <v>17</v>
      </c>
      <c r="F6" s="1" t="s">
        <v>14</v>
      </c>
      <c r="G6" s="10"/>
      <c r="I6" s="1"/>
    </row>
    <row r="7" spans="1:13">
      <c r="A7" s="8">
        <v>46108</v>
      </c>
      <c r="B7" s="8"/>
      <c r="C7" s="9" t="s">
        <v>11</v>
      </c>
      <c r="D7" t="s">
        <v>66</v>
      </c>
      <c r="F7" s="1" t="s">
        <v>10</v>
      </c>
      <c r="G7" s="10"/>
      <c r="I7" s="1"/>
    </row>
    <row r="8" spans="1:13">
      <c r="A8" s="8">
        <v>46109</v>
      </c>
      <c r="B8" s="8"/>
      <c r="C8" s="9" t="s">
        <v>11</v>
      </c>
      <c r="D8" t="s">
        <v>32</v>
      </c>
      <c r="F8" s="1" t="s">
        <v>14</v>
      </c>
      <c r="G8" s="10"/>
      <c r="I8" s="1"/>
    </row>
    <row r="9" spans="1:13">
      <c r="A9" s="8">
        <v>46110</v>
      </c>
      <c r="B9" s="8"/>
      <c r="C9" s="12" t="s">
        <v>67</v>
      </c>
      <c r="D9" t="s">
        <v>61</v>
      </c>
      <c r="F9" s="1" t="s">
        <v>10</v>
      </c>
      <c r="G9" s="10"/>
      <c r="I9" s="1"/>
    </row>
    <row r="10" spans="1:13">
      <c r="A10" s="8">
        <v>46111</v>
      </c>
      <c r="B10" s="8"/>
      <c r="C10" s="12" t="s">
        <v>67</v>
      </c>
      <c r="D10" t="s">
        <v>68</v>
      </c>
      <c r="F10" s="1" t="s">
        <v>27</v>
      </c>
      <c r="G10" s="10"/>
      <c r="I10" s="1"/>
    </row>
    <row r="11" spans="1:13">
      <c r="A11" s="8">
        <v>46112</v>
      </c>
      <c r="B11" s="8"/>
      <c r="C11" s="12" t="s">
        <v>67</v>
      </c>
      <c r="D11" t="s">
        <v>69</v>
      </c>
      <c r="F11" s="1" t="s">
        <v>10</v>
      </c>
      <c r="G11" s="10"/>
      <c r="I11" s="1"/>
    </row>
    <row r="12" spans="1:13">
      <c r="A12" s="8">
        <v>46113</v>
      </c>
      <c r="B12" s="8"/>
      <c r="C12" s="12" t="s">
        <v>67</v>
      </c>
      <c r="D12" t="s">
        <v>70</v>
      </c>
      <c r="E12" s="1" t="s">
        <v>13</v>
      </c>
      <c r="F12" s="1" t="s">
        <v>14</v>
      </c>
      <c r="G12" s="13"/>
      <c r="I12" s="1"/>
    </row>
    <row r="13" spans="1:13">
      <c r="A13" s="8">
        <v>46114</v>
      </c>
      <c r="B13" s="8"/>
      <c r="C13" s="12" t="s">
        <v>67</v>
      </c>
      <c r="D13" t="s">
        <v>71</v>
      </c>
      <c r="E13" s="1" t="s">
        <v>13</v>
      </c>
      <c r="F13" s="1" t="s">
        <v>14</v>
      </c>
      <c r="G13" s="13"/>
      <c r="I13" s="1"/>
    </row>
    <row r="14" spans="1:13">
      <c r="A14" s="8">
        <v>46115</v>
      </c>
      <c r="B14" s="8"/>
      <c r="C14" s="12" t="s">
        <v>67</v>
      </c>
      <c r="D14" t="s">
        <v>72</v>
      </c>
      <c r="F14" s="1" t="s">
        <v>27</v>
      </c>
      <c r="G14" s="13"/>
      <c r="I14" s="1"/>
    </row>
    <row r="15" spans="1:13">
      <c r="A15" s="8">
        <v>46116</v>
      </c>
      <c r="B15" s="8"/>
      <c r="C15" s="2"/>
      <c r="D15" s="3"/>
      <c r="F15" s="1" t="s">
        <v>27</v>
      </c>
      <c r="G15" s="13"/>
      <c r="I15" s="1"/>
    </row>
    <row r="16" spans="1:13">
      <c r="A16" s="8">
        <v>46117</v>
      </c>
      <c r="B16" s="8"/>
      <c r="C16" s="14" t="s">
        <v>73</v>
      </c>
      <c r="D16" t="s">
        <v>74</v>
      </c>
      <c r="F16" s="1" t="s">
        <v>27</v>
      </c>
      <c r="G16" s="13"/>
      <c r="I16" s="1"/>
    </row>
    <row r="17" spans="1:9">
      <c r="A17" s="8">
        <v>46118</v>
      </c>
      <c r="B17" s="8"/>
      <c r="C17" s="14" t="s">
        <v>73</v>
      </c>
      <c r="D17" t="s">
        <v>75</v>
      </c>
      <c r="F17" s="1" t="s">
        <v>27</v>
      </c>
      <c r="G17" s="13"/>
      <c r="I17" s="1"/>
    </row>
    <row r="18" spans="1:9">
      <c r="A18" s="8">
        <v>46119</v>
      </c>
      <c r="B18" s="8"/>
      <c r="C18" s="14" t="s">
        <v>73</v>
      </c>
      <c r="D18" t="s">
        <v>76</v>
      </c>
      <c r="F18" s="1" t="s">
        <v>14</v>
      </c>
      <c r="G18" s="13"/>
      <c r="I18" s="1"/>
    </row>
    <row r="19" spans="1:9">
      <c r="A19" s="8">
        <v>46120</v>
      </c>
      <c r="B19" s="8"/>
      <c r="C19" s="14" t="s">
        <v>73</v>
      </c>
      <c r="D19" t="s">
        <v>77</v>
      </c>
      <c r="G19" s="13"/>
      <c r="I19" s="1"/>
    </row>
    <row r="20" spans="1:9">
      <c r="A20" s="8">
        <v>46121</v>
      </c>
      <c r="B20" s="8"/>
      <c r="C20" s="14" t="s">
        <v>73</v>
      </c>
      <c r="D20" t="s">
        <v>78</v>
      </c>
      <c r="E20" s="1" t="s">
        <v>13</v>
      </c>
      <c r="G20" s="13"/>
      <c r="I20" s="1"/>
    </row>
    <row r="21" spans="1:9">
      <c r="A21" s="8">
        <v>46122</v>
      </c>
      <c r="B21" s="8"/>
      <c r="C21" s="14" t="s">
        <v>73</v>
      </c>
      <c r="D21" t="s">
        <v>79</v>
      </c>
      <c r="E21" s="1" t="s">
        <v>13</v>
      </c>
      <c r="G21" s="13"/>
      <c r="I21" s="1"/>
    </row>
    <row r="22" spans="1:9">
      <c r="A22" s="8"/>
      <c r="B22" s="8"/>
      <c r="C22" s="2"/>
      <c r="D22" s="3"/>
      <c r="E22" s="1" t="s">
        <v>13</v>
      </c>
      <c r="G22" s="2"/>
      <c r="I22" s="1"/>
    </row>
    <row r="23" spans="1:9">
      <c r="A23" s="8"/>
      <c r="B23" s="8"/>
      <c r="C23" s="15" t="s">
        <v>80</v>
      </c>
      <c r="D23" t="s">
        <v>81</v>
      </c>
      <c r="G23" s="2"/>
      <c r="I23" s="1"/>
    </row>
    <row r="24" spans="1:9">
      <c r="A24" s="8"/>
      <c r="B24" s="8"/>
      <c r="C24" s="15" t="s">
        <v>80</v>
      </c>
      <c r="D24" t="s">
        <v>82</v>
      </c>
      <c r="G24" s="2"/>
      <c r="I24" s="1"/>
    </row>
    <row r="25" spans="1:9">
      <c r="A25" s="8"/>
      <c r="B25" s="8"/>
      <c r="C25" s="15" t="s">
        <v>80</v>
      </c>
      <c r="D25" t="s">
        <v>83</v>
      </c>
      <c r="G25" s="2"/>
      <c r="I25" s="1"/>
    </row>
    <row r="26" spans="1:9">
      <c r="A26" s="8"/>
      <c r="B26" s="8"/>
      <c r="C26" s="15" t="s">
        <v>80</v>
      </c>
      <c r="D26" t="s">
        <v>84</v>
      </c>
      <c r="G26" s="2"/>
      <c r="I26" s="1"/>
    </row>
    <row r="27" spans="1:9">
      <c r="A27" s="8"/>
      <c r="B27" s="8"/>
      <c r="C27" s="2"/>
      <c r="D27" s="3"/>
      <c r="G27" s="2"/>
      <c r="I27" s="1"/>
    </row>
    <row r="28" spans="1:9">
      <c r="A28" s="8"/>
      <c r="B28" s="8"/>
      <c r="C28" s="16" t="s">
        <v>85</v>
      </c>
      <c r="D28" t="s">
        <v>86</v>
      </c>
      <c r="G28" s="2"/>
      <c r="I28" s="1"/>
    </row>
    <row r="29" spans="1:9">
      <c r="A29" s="8"/>
      <c r="B29" s="8"/>
      <c r="C29" s="16" t="s">
        <v>85</v>
      </c>
      <c r="D29" t="s">
        <v>87</v>
      </c>
      <c r="E29" s="1" t="s">
        <v>13</v>
      </c>
      <c r="G29" s="2"/>
      <c r="I29" s="1"/>
    </row>
    <row r="30" spans="1:9">
      <c r="A30" s="8"/>
      <c r="B30" s="8"/>
      <c r="C30" s="16" t="s">
        <v>85</v>
      </c>
      <c r="D30" t="s">
        <v>88</v>
      </c>
      <c r="G30" s="2"/>
      <c r="I30" s="1"/>
    </row>
    <row r="31" spans="1:9">
      <c r="A31" s="8"/>
      <c r="B31" s="8"/>
      <c r="C31" s="16" t="s">
        <v>85</v>
      </c>
      <c r="D31" t="s">
        <v>89</v>
      </c>
      <c r="I31" s="1"/>
    </row>
    <row r="32" spans="1:9">
      <c r="A32" s="8"/>
      <c r="B32" s="8"/>
      <c r="C32" s="2"/>
      <c r="D32" s="3"/>
      <c r="E32" s="1" t="s">
        <v>13</v>
      </c>
      <c r="I32" s="1"/>
    </row>
    <row r="33" spans="1:9">
      <c r="A33" s="8"/>
      <c r="B33" s="8"/>
      <c r="C33" s="2"/>
      <c r="D33" s="3"/>
      <c r="I33" s="1"/>
    </row>
    <row r="34" spans="1:9">
      <c r="A34" s="8"/>
      <c r="B34" s="8"/>
      <c r="C34" s="2"/>
      <c r="D34" s="3"/>
      <c r="E34" s="1" t="s">
        <v>13</v>
      </c>
      <c r="I34" s="1"/>
    </row>
    <row r="35" spans="1:9">
      <c r="A35" s="8"/>
      <c r="B35" s="8"/>
      <c r="C35" s="2"/>
      <c r="D35" s="3"/>
      <c r="I35" s="1"/>
    </row>
    <row r="36" spans="1:9">
      <c r="A36" s="8"/>
      <c r="B36" s="8"/>
      <c r="C36" s="2"/>
      <c r="D36" s="3"/>
      <c r="I36" s="1"/>
    </row>
    <row r="37" spans="1:9">
      <c r="A37" s="8"/>
      <c r="B37" s="8"/>
      <c r="C37" s="2"/>
      <c r="D37" s="3"/>
      <c r="I37" s="1"/>
    </row>
    <row r="38" spans="1:9">
      <c r="A38" s="8"/>
      <c r="B38" s="8"/>
      <c r="C38" s="2"/>
      <c r="D38" s="3"/>
      <c r="I38" s="1"/>
    </row>
    <row r="39" spans="1:9">
      <c r="B39" s="1"/>
      <c r="C39" s="9" t="s">
        <v>11</v>
      </c>
      <c r="D39" s="3" t="s">
        <v>90</v>
      </c>
      <c r="I39" s="1"/>
    </row>
    <row r="41" spans="1:9">
      <c r="C41" s="12" t="s">
        <v>67</v>
      </c>
      <c r="D41" s="3" t="s">
        <v>91</v>
      </c>
    </row>
    <row r="42" spans="1:9">
      <c r="C42" s="12" t="s">
        <v>67</v>
      </c>
      <c r="D42" t="s">
        <v>92</v>
      </c>
    </row>
    <row r="44" spans="1:9">
      <c r="B44" s="17"/>
    </row>
  </sheetData>
  <conditionalFormatting sqref="F2:F39 E40:E119">
    <cfRule type="expression" dxfId="7" priority="1">
      <formula>TRIM(E2)="In Progress"</formula>
    </cfRule>
    <cfRule type="expression" dxfId="8" priority="2">
      <formula>TRIM(E2)="Pending"</formula>
    </cfRule>
    <cfRule type="expression" dxfId="9" priority="3">
      <formula>TRIM(E2)="Completed"</formula>
    </cfRule>
  </conditionalFormatting>
  <dataValidations count="3">
    <dataValidation type="list" allowBlank="1" showInputMessage="1" showErrorMessage="1" sqref="F1 E120:E1048576">
      <formula1>"Done,In Progress,Pending"</formula1>
    </dataValidation>
    <dataValidation type="list" allowBlank="1" showInputMessage="1" showErrorMessage="1" sqref="D40 D43:D119 E2:E39">
      <formula1>"High,Low,Medium"</formula1>
    </dataValidation>
    <dataValidation type="list" allowBlank="1" showInputMessage="1" showErrorMessage="1" sqref="E40:E119 F2:F39">
      <formula1>"Completed,Pending,In Progress"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Leetcode_Imp_Problems</vt:lpstr>
      <vt:lpstr>Zoho_Problems_List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Ratnmala shendge</dc:creator>
  <cp:lastModifiedBy>ratna</cp:lastModifiedBy>
  <dcterms:created xsi:type="dcterms:W3CDTF">2026-03-22T15:47:00Z</dcterms:created>
  <dcterms:modified xsi:type="dcterms:W3CDTF">2026-04-01T15:28:44Z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E45118DA43CD4643A11BC85A55E41F2F_12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